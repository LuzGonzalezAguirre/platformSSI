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z.Aguirre\platformSSI\apps\backend\apps\production\templates\excel\"/>
    </mc:Choice>
  </mc:AlternateContent>
  <xr:revisionPtr revIDLastSave="0" documentId="8_{9EDEE708-6BF6-45C3-B2A3-74990E9B37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K 02 26" sheetId="1" r:id="rId1"/>
  </sheets>
  <definedNames>
    <definedName name="Durchführng">"AutoForm 5"</definedName>
    <definedName name="Durchführung">"AutoForm 5"</definedName>
    <definedName name="Ende">"AutoForm 3"</definedName>
    <definedName name="erledigt">#REF!</definedName>
    <definedName name="G">#REF!</definedName>
    <definedName name="gelb">"Ellipse 245"</definedName>
    <definedName name="grün">"Ellipse 246"</definedName>
    <definedName name="H">#REF!</definedName>
    <definedName name="less">#REF!</definedName>
    <definedName name="List_of_Status">#REF!</definedName>
    <definedName name="Meilenstein">"AutoForm 4"</definedName>
    <definedName name="more">#REF!</definedName>
    <definedName name="partial">#REF!</definedName>
    <definedName name="rot">"Ellipse 244"</definedName>
    <definedName name="Sname">#REF!</definedName>
    <definedName name="Start">"AutoForm 2"</definedName>
    <definedName name="target">#N/A</definedName>
    <definedName name="target1">[0]!target</definedName>
    <definedName name="targets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" l="1"/>
  <c r="H53" i="1"/>
  <c r="K52" i="1"/>
  <c r="H52" i="1"/>
  <c r="F162" i="1"/>
  <c r="F161" i="1"/>
  <c r="F160" i="1"/>
  <c r="K37" i="1"/>
  <c r="H37" i="1"/>
  <c r="K36" i="1"/>
  <c r="H36" i="1"/>
  <c r="K21" i="1"/>
  <c r="J21" i="1"/>
  <c r="H21" i="1"/>
  <c r="K20" i="1"/>
  <c r="H20" i="1"/>
</calcChain>
</file>

<file path=xl/sharedStrings.xml><?xml version="1.0" encoding="utf-8"?>
<sst xmlns="http://schemas.openxmlformats.org/spreadsheetml/2006/main" count="98" uniqueCount="38">
  <si>
    <t xml:space="preserve">Ops Daily  Report Out Tijuana - </t>
  </si>
  <si>
    <t>03/01/2026</t>
  </si>
  <si>
    <t>Safety</t>
  </si>
  <si>
    <t>Only if incident. Any First Aids, Incidents, Recordables, any COVID Positives</t>
  </si>
  <si>
    <t>Productivity</t>
  </si>
  <si>
    <t>N/A</t>
  </si>
  <si>
    <t>WIP (line)</t>
  </si>
  <si>
    <t xml:space="preserve">Production Week </t>
  </si>
  <si>
    <t>Produced</t>
  </si>
  <si>
    <t>Target</t>
  </si>
  <si>
    <t>%Plan</t>
  </si>
  <si>
    <t xml:space="preserve">Comments </t>
  </si>
  <si>
    <t>Goal</t>
  </si>
  <si>
    <t>Actual</t>
  </si>
  <si>
    <t>Yield Rate</t>
  </si>
  <si>
    <t>Scrap COGP%: Goal &lt; 2%</t>
  </si>
  <si>
    <t>VOLVO</t>
  </si>
  <si>
    <t>0.0%</t>
  </si>
  <si>
    <t>100.0%</t>
  </si>
  <si>
    <t>0.00%</t>
  </si>
  <si>
    <t xml:space="preserve">Production </t>
  </si>
  <si>
    <t>%</t>
  </si>
  <si>
    <t>Produced
Cumulative</t>
  </si>
  <si>
    <t>Goal
Cumulative</t>
  </si>
  <si>
    <t>Cumulative Scrap COGP%
: Goal &lt; 2%</t>
  </si>
  <si>
    <t>Mon</t>
  </si>
  <si>
    <t>Tue</t>
  </si>
  <si>
    <t>Wed</t>
  </si>
  <si>
    <t>Thu</t>
  </si>
  <si>
    <t>Fri</t>
  </si>
  <si>
    <t>Total</t>
  </si>
  <si>
    <t>WIP</t>
  </si>
  <si>
    <t>CUMMINS</t>
  </si>
  <si>
    <t>.</t>
  </si>
  <si>
    <t>`</t>
  </si>
  <si>
    <t>Scrap $</t>
  </si>
  <si>
    <t>Comments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</si>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</sst>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/d;@"/>
    <numFmt numFmtId="165" formatCode="0.0%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A12885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1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2CC"/>
        <bgColor indexed="64"/>
      </patternFill>
    </fill>
  </fills>
  <borders count="3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1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0" xfId="0" applyNumberFormat="1"/>
    <xf numFmtId="164" fontId="4" fillId="2" borderId="6" xfId="0" applyNumberFormat="1" applyFont="1" applyFill="1" applyBorder="1" applyAlignment="1">
      <alignment horizontal="center"/>
    </xf>
    <xf numFmtId="10" fontId="0" fillId="0" borderId="0" xfId="2" applyNumberFormat="1" applyFont="1"/>
    <xf numFmtId="2" fontId="5" fillId="0" borderId="0" xfId="0" applyNumberFormat="1" applyFont="1"/>
    <xf numFmtId="0" fontId="0" fillId="0" borderId="0" xfId="0" applyAlignment="1">
      <alignment horizontal="center" wrapText="1"/>
    </xf>
    <xf numFmtId="9" fontId="0" fillId="0" borderId="9" xfId="0" applyNumberFormat="1" applyBorder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1" xfId="0" applyBorder="1"/>
    <xf numFmtId="9" fontId="0" fillId="0" borderId="12" xfId="0" applyNumberForma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0" fillId="0" borderId="12" xfId="0" applyBorder="1" applyAlignment="1">
      <alignment vertical="top" wrapText="1"/>
    </xf>
    <xf numFmtId="0" fontId="0" fillId="0" borderId="12" xfId="0" applyBorder="1"/>
    <xf numFmtId="0" fontId="0" fillId="0" borderId="13" xfId="0" applyBorder="1" applyAlignment="1">
      <alignment vertical="top" wrapText="1"/>
    </xf>
    <xf numFmtId="0" fontId="0" fillId="3" borderId="0" xfId="0" applyFill="1"/>
    <xf numFmtId="9" fontId="0" fillId="3" borderId="0" xfId="0" applyNumberForma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0" fillId="3" borderId="0" xfId="0" applyFill="1" applyAlignment="1">
      <alignment vertical="top" wrapText="1"/>
    </xf>
    <xf numFmtId="9" fontId="0" fillId="0" borderId="2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0" xfId="0" applyFont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2" borderId="15" xfId="0" applyFill="1" applyBorder="1" applyAlignment="1">
      <alignment horizontal="center" vertical="center" wrapText="1"/>
    </xf>
    <xf numFmtId="165" fontId="0" fillId="0" borderId="0" xfId="2" applyNumberFormat="1" applyFont="1"/>
    <xf numFmtId="0" fontId="6" fillId="6" borderId="6" xfId="0" applyFont="1" applyFill="1" applyBorder="1" applyAlignment="1">
      <alignment horizontal="center" vertical="center" wrapText="1"/>
    </xf>
    <xf numFmtId="37" fontId="7" fillId="0" borderId="6" xfId="1" applyNumberFormat="1" applyFont="1" applyBorder="1" applyAlignment="1">
      <alignment horizontal="center" vertical="center"/>
    </xf>
    <xf numFmtId="165" fontId="7" fillId="7" borderId="6" xfId="2" applyNumberFormat="1" applyFont="1" applyFill="1" applyBorder="1" applyAlignment="1">
      <alignment horizontal="center" vertical="center"/>
    </xf>
    <xf numFmtId="165" fontId="8" fillId="2" borderId="6" xfId="2" applyNumberFormat="1" applyFont="1" applyFill="1" applyBorder="1" applyAlignment="1">
      <alignment horizontal="left" vertical="center" wrapText="1"/>
    </xf>
    <xf numFmtId="1" fontId="7" fillId="2" borderId="16" xfId="2" applyNumberFormat="1" applyFont="1" applyFill="1" applyBorder="1" applyAlignment="1">
      <alignment horizontal="center" vertical="center" wrapText="1"/>
    </xf>
    <xf numFmtId="9" fontId="9" fillId="2" borderId="6" xfId="0" applyNumberFormat="1" applyFont="1" applyFill="1" applyBorder="1" applyAlignment="1">
      <alignment horizontal="center" vertical="center"/>
    </xf>
    <xf numFmtId="10" fontId="4" fillId="8" borderId="6" xfId="0" applyNumberFormat="1" applyFont="1" applyFill="1" applyBorder="1" applyAlignment="1">
      <alignment horizontal="center" vertical="center" wrapText="1"/>
    </xf>
    <xf numFmtId="2" fontId="0" fillId="0" borderId="0" xfId="1" applyNumberFormat="1" applyFont="1"/>
    <xf numFmtId="0" fontId="0" fillId="0" borderId="0" xfId="0" applyAlignment="1">
      <alignment horizontal="center" vertical="center"/>
    </xf>
    <xf numFmtId="166" fontId="7" fillId="0" borderId="0" xfId="1" applyNumberFormat="1" applyFont="1" applyAlignment="1">
      <alignment horizontal="center" vertical="center"/>
    </xf>
    <xf numFmtId="165" fontId="7" fillId="2" borderId="0" xfId="2" applyNumberFormat="1" applyFont="1" applyFill="1" applyAlignment="1">
      <alignment horizontal="center" vertical="center"/>
    </xf>
    <xf numFmtId="165" fontId="7" fillId="2" borderId="0" xfId="2" applyNumberFormat="1" applyFont="1" applyFill="1" applyAlignment="1">
      <alignment horizontal="center" wrapText="1"/>
    </xf>
    <xf numFmtId="9" fontId="9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9" fontId="2" fillId="10" borderId="8" xfId="2" applyFont="1" applyFill="1" applyBorder="1" applyAlignment="1">
      <alignment horizontal="center" vertical="center"/>
    </xf>
    <xf numFmtId="9" fontId="2" fillId="10" borderId="6" xfId="2" applyFont="1" applyFill="1" applyBorder="1" applyAlignment="1">
      <alignment horizontal="center" vertical="center"/>
    </xf>
    <xf numFmtId="9" fontId="0" fillId="10" borderId="6" xfId="2" applyFont="1" applyFill="1" applyBorder="1" applyAlignment="1">
      <alignment horizontal="center" vertical="center"/>
    </xf>
    <xf numFmtId="9" fontId="2" fillId="10" borderId="6" xfId="2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10" fontId="10" fillId="9" borderId="18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14" fontId="2" fillId="0" borderId="19" xfId="0" applyNumberFormat="1" applyFont="1" applyBorder="1" applyAlignment="1">
      <alignment horizontal="center" vertical="center"/>
    </xf>
    <xf numFmtId="37" fontId="7" fillId="2" borderId="6" xfId="1" applyNumberFormat="1" applyFont="1" applyFill="1" applyBorder="1" applyAlignment="1">
      <alignment horizontal="center" vertical="center"/>
    </xf>
    <xf numFmtId="0" fontId="0" fillId="11" borderId="0" xfId="0" applyFill="1"/>
    <xf numFmtId="165" fontId="7" fillId="2" borderId="6" xfId="2" applyNumberFormat="1" applyFont="1" applyFill="1" applyBorder="1" applyAlignment="1">
      <alignment horizontal="center" vertical="center"/>
    </xf>
    <xf numFmtId="37" fontId="7" fillId="2" borderId="20" xfId="1" applyNumberFormat="1" applyFont="1" applyFill="1" applyBorder="1" applyAlignment="1">
      <alignment horizontal="center" vertical="center"/>
    </xf>
    <xf numFmtId="37" fontId="7" fillId="2" borderId="21" xfId="1" applyNumberFormat="1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66" fontId="7" fillId="0" borderId="12" xfId="1" applyNumberFormat="1" applyFont="1" applyBorder="1" applyAlignment="1">
      <alignment horizontal="center" vertical="center"/>
    </xf>
    <xf numFmtId="165" fontId="7" fillId="0" borderId="12" xfId="2" applyNumberFormat="1" applyFont="1" applyBorder="1" applyAlignment="1">
      <alignment horizontal="center" vertical="center"/>
    </xf>
    <xf numFmtId="165" fontId="7" fillId="0" borderId="12" xfId="2" applyNumberFormat="1" applyFont="1" applyBorder="1" applyAlignment="1">
      <alignment horizontal="center" wrapText="1"/>
    </xf>
    <xf numFmtId="9" fontId="9" fillId="0" borderId="12" xfId="0" applyNumberFormat="1" applyFont="1" applyBorder="1" applyAlignment="1">
      <alignment vertical="center"/>
    </xf>
    <xf numFmtId="0" fontId="10" fillId="0" borderId="12" xfId="0" applyFont="1" applyBorder="1" applyAlignment="1">
      <alignment horizontal="center" vertical="center" wrapText="1"/>
    </xf>
    <xf numFmtId="0" fontId="0" fillId="0" borderId="13" xfId="0" applyBorder="1"/>
    <xf numFmtId="165" fontId="7" fillId="0" borderId="0" xfId="2" applyNumberFormat="1" applyFont="1" applyAlignment="1">
      <alignment horizontal="center" vertical="center"/>
    </xf>
    <xf numFmtId="165" fontId="7" fillId="0" borderId="0" xfId="2" applyNumberFormat="1" applyFont="1" applyAlignment="1">
      <alignment horizontal="center" wrapText="1"/>
    </xf>
    <xf numFmtId="9" fontId="9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37" fontId="7" fillId="0" borderId="6" xfId="1" applyNumberFormat="1" applyFont="1" applyBorder="1" applyAlignment="1">
      <alignment horizontal="center" vertical="center" wrapText="1"/>
    </xf>
    <xf numFmtId="165" fontId="7" fillId="12" borderId="6" xfId="2" applyNumberFormat="1" applyFont="1" applyFill="1" applyBorder="1" applyAlignment="1">
      <alignment horizontal="center" vertical="center"/>
    </xf>
    <xf numFmtId="37" fontId="2" fillId="2" borderId="6" xfId="1" applyNumberFormat="1" applyFont="1" applyFill="1" applyBorder="1" applyAlignment="1">
      <alignment horizontal="center" vertical="center"/>
    </xf>
    <xf numFmtId="0" fontId="0" fillId="2" borderId="0" xfId="0" applyFill="1"/>
    <xf numFmtId="10" fontId="7" fillId="8" borderId="6" xfId="0" applyNumberFormat="1" applyFont="1" applyFill="1" applyBorder="1" applyAlignment="1">
      <alignment horizontal="center" vertical="center" wrapText="1"/>
    </xf>
    <xf numFmtId="37" fontId="7" fillId="0" borderId="0" xfId="1" applyNumberFormat="1" applyFont="1" applyAlignment="1">
      <alignment horizontal="center" vertical="center"/>
    </xf>
    <xf numFmtId="37" fontId="7" fillId="2" borderId="0" xfId="1" applyNumberFormat="1" applyFont="1" applyFill="1" applyAlignment="1">
      <alignment horizontal="center" vertical="center"/>
    </xf>
    <xf numFmtId="37" fontId="7" fillId="0" borderId="12" xfId="1" applyNumberFormat="1" applyFont="1" applyBorder="1" applyAlignment="1">
      <alignment horizontal="center" vertical="center"/>
    </xf>
    <xf numFmtId="165" fontId="7" fillId="2" borderId="12" xfId="2" applyNumberFormat="1" applyFont="1" applyFill="1" applyBorder="1" applyAlignment="1">
      <alignment horizontal="center" vertical="center"/>
    </xf>
    <xf numFmtId="37" fontId="7" fillId="2" borderId="12" xfId="1" applyNumberFormat="1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vertical="center" wrapText="1"/>
    </xf>
    <xf numFmtId="37" fontId="7" fillId="0" borderId="10" xfId="1" applyNumberFormat="1" applyFont="1" applyBorder="1" applyAlignment="1">
      <alignment horizontal="center" vertical="center"/>
    </xf>
    <xf numFmtId="37" fontId="7" fillId="0" borderId="0" xfId="1" applyNumberFormat="1" applyFont="1" applyAlignment="1">
      <alignment horizontal="center" vertical="center"/>
    </xf>
    <xf numFmtId="37" fontId="7" fillId="0" borderId="24" xfId="1" applyNumberFormat="1" applyFont="1" applyBorder="1" applyAlignment="1">
      <alignment horizontal="center" vertical="center"/>
    </xf>
    <xf numFmtId="37" fontId="7" fillId="0" borderId="25" xfId="1" applyNumberFormat="1" applyFont="1" applyBorder="1" applyAlignment="1">
      <alignment horizontal="center" vertical="center"/>
    </xf>
    <xf numFmtId="37" fontId="7" fillId="0" borderId="26" xfId="1" applyNumberFormat="1" applyFont="1" applyBorder="1" applyAlignment="1">
      <alignment horizontal="center" vertical="center"/>
    </xf>
    <xf numFmtId="37" fontId="7" fillId="0" borderId="27" xfId="1" applyNumberFormat="1" applyFont="1" applyBorder="1" applyAlignment="1">
      <alignment horizontal="center" vertical="center"/>
    </xf>
    <xf numFmtId="37" fontId="7" fillId="0" borderId="28" xfId="1" applyNumberFormat="1" applyFont="1" applyBorder="1" applyAlignment="1">
      <alignment horizontal="center" vertical="center"/>
    </xf>
    <xf numFmtId="37" fontId="7" fillId="0" borderId="29" xfId="1" applyNumberFormat="1" applyFont="1" applyBorder="1" applyAlignment="1">
      <alignment horizontal="center" vertical="center"/>
    </xf>
    <xf numFmtId="37" fontId="7" fillId="0" borderId="16" xfId="1" applyNumberFormat="1" applyFont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 wrapText="1"/>
    </xf>
    <xf numFmtId="0" fontId="0" fillId="0" borderId="14" xfId="0" applyBorder="1"/>
    <xf numFmtId="0" fontId="11" fillId="9" borderId="15" xfId="0" applyFont="1" applyFill="1" applyBorder="1" applyAlignment="1">
      <alignment horizontal="center" vertical="center"/>
    </xf>
    <xf numFmtId="0" fontId="0" fillId="0" borderId="17" xfId="0" applyBorder="1"/>
    <xf numFmtId="0" fontId="13" fillId="13" borderId="0" xfId="0" applyFont="1" applyFill="1" applyAlignment="1">
      <alignment horizontal="center" vertical="center" wrapText="1"/>
    </xf>
    <xf numFmtId="37" fontId="7" fillId="0" borderId="20" xfId="1" applyNumberFormat="1" applyFont="1" applyBorder="1" applyAlignment="1">
      <alignment horizontal="center" vertical="center"/>
    </xf>
    <xf numFmtId="37" fontId="7" fillId="0" borderId="21" xfId="1" applyNumberFormat="1" applyFont="1" applyBorder="1" applyAlignment="1">
      <alignment horizontal="center" vertical="center"/>
    </xf>
    <xf numFmtId="37" fontId="7" fillId="0" borderId="22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 wrapText="1"/>
    </xf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2" fillId="0" borderId="0" xfId="0" applyFont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10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99</xdr:row>
      <xdr:rowOff>153147</xdr:rowOff>
    </xdr:from>
    <xdr:to>
      <xdr:col>17</xdr:col>
      <xdr:colOff>410279</xdr:colOff>
      <xdr:row>154</xdr:row>
      <xdr:rowOff>156845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27972"/>
          <a:ext cx="18650654" cy="1048119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C1:U162"/>
  <sheetViews>
    <sheetView showGridLines="0" tabSelected="1" topLeftCell="A64" zoomScale="85" zoomScaleNormal="85" workbookViewId="0">
      <selection activeCell="F57" sqref="F57"/>
    </sheetView>
  </sheetViews>
  <sheetFormatPr defaultRowHeight="15" x14ac:dyDescent="0.25"/>
  <cols>
    <col min="2" max="2" width="10.42578125" customWidth="1"/>
    <col min="3" max="3" width="2.42578125" customWidth="1"/>
    <col min="4" max="4" width="10.42578125" customWidth="1"/>
    <col min="5" max="5" width="27" customWidth="1"/>
    <col min="6" max="6" width="27.7109375" bestFit="1" customWidth="1"/>
    <col min="7" max="7" width="12.5703125" style="2" customWidth="1"/>
    <col min="8" max="8" width="12.140625" customWidth="1"/>
    <col min="9" max="9" width="35.140625" customWidth="1"/>
    <col min="10" max="11" width="11.7109375" customWidth="1"/>
    <col min="12" max="12" width="14.140625" customWidth="1"/>
    <col min="13" max="13" width="31.140625" customWidth="1"/>
    <col min="14" max="14" width="2.28515625" customWidth="1"/>
    <col min="16" max="16" width="33.42578125" customWidth="1"/>
    <col min="17" max="17" width="13" bestFit="1" customWidth="1"/>
    <col min="18" max="18" width="16.85546875" customWidth="1"/>
  </cols>
  <sheetData>
    <row r="1" spans="3:21" x14ac:dyDescent="0.25">
      <c r="C1" s="1"/>
    </row>
    <row r="2" spans="3:21" ht="15.75" customHeight="1" thickBot="1" x14ac:dyDescent="0.3"/>
    <row r="3" spans="3:21" ht="15.75" customHeight="1" thickTop="1" x14ac:dyDescent="0.25">
      <c r="C3" s="3"/>
      <c r="D3" s="4"/>
      <c r="E3" s="4"/>
      <c r="F3" s="4"/>
      <c r="G3" s="5"/>
      <c r="H3" s="4"/>
      <c r="I3" s="4"/>
      <c r="J3" s="4"/>
      <c r="K3" s="4"/>
      <c r="L3" s="4"/>
      <c r="M3" s="4"/>
      <c r="N3" s="6"/>
    </row>
    <row r="4" spans="3:21" ht="23.25" customHeight="1" x14ac:dyDescent="0.35">
      <c r="C4" s="7"/>
      <c r="D4" s="111" t="s">
        <v>0</v>
      </c>
      <c r="E4" s="112"/>
      <c r="F4" s="112"/>
      <c r="G4" s="113"/>
      <c r="H4" s="112"/>
      <c r="I4" s="112"/>
      <c r="J4" s="112"/>
      <c r="K4" s="112"/>
      <c r="L4" s="112"/>
      <c r="M4" s="112"/>
      <c r="N4" s="8"/>
      <c r="P4" s="9"/>
    </row>
    <row r="5" spans="3:21" ht="9" customHeight="1" x14ac:dyDescent="0.25">
      <c r="C5" s="7"/>
      <c r="N5" s="8"/>
      <c r="P5" s="9"/>
    </row>
    <row r="6" spans="3:21" ht="15.75" customHeight="1" x14ac:dyDescent="0.25">
      <c r="C6" s="7"/>
      <c r="D6" s="1"/>
      <c r="E6" s="10" t="s">
        <v>1</v>
      </c>
      <c r="N6" s="8"/>
      <c r="P6" s="9"/>
    </row>
    <row r="7" spans="3:21" x14ac:dyDescent="0.25">
      <c r="C7" s="7"/>
      <c r="D7" s="1" t="s">
        <v>2</v>
      </c>
      <c r="E7" t="s">
        <v>3</v>
      </c>
      <c r="N7" s="8"/>
      <c r="P7" s="9"/>
      <c r="R7" s="11"/>
      <c r="U7" s="11"/>
    </row>
    <row r="8" spans="3:21" ht="46.5" customHeight="1" x14ac:dyDescent="0.25">
      <c r="C8" s="7"/>
      <c r="D8" s="114">
        <v>59</v>
      </c>
      <c r="E8" s="115"/>
      <c r="F8" s="115"/>
      <c r="G8" s="115"/>
      <c r="H8" s="115"/>
      <c r="I8" s="115"/>
      <c r="J8" s="115"/>
      <c r="K8" s="115"/>
      <c r="L8" s="115"/>
      <c r="M8" s="116"/>
      <c r="N8" s="8"/>
      <c r="P8" s="12"/>
    </row>
    <row r="9" spans="3:21" ht="29.25" customHeight="1" thickBot="1" x14ac:dyDescent="0.3">
      <c r="C9" s="7"/>
      <c r="D9" s="117" t="s">
        <v>4</v>
      </c>
      <c r="E9" s="112"/>
      <c r="F9" s="13"/>
      <c r="G9" s="13"/>
      <c r="H9" s="13"/>
      <c r="I9" s="13"/>
      <c r="J9" s="13"/>
      <c r="K9" s="13"/>
      <c r="L9" s="13"/>
      <c r="M9" s="13"/>
      <c r="N9" s="8"/>
      <c r="P9" s="9"/>
    </row>
    <row r="10" spans="3:21" ht="30" customHeight="1" thickBot="1" x14ac:dyDescent="0.3">
      <c r="C10" s="7"/>
      <c r="D10" s="14" t="s">
        <v>5</v>
      </c>
      <c r="E10" s="108"/>
      <c r="F10" s="109"/>
      <c r="G10" s="110"/>
      <c r="H10" s="15"/>
      <c r="I10" s="16"/>
      <c r="L10" s="16"/>
      <c r="M10" s="16"/>
      <c r="N10" s="17"/>
      <c r="P10" s="9"/>
    </row>
    <row r="11" spans="3:21" ht="30" customHeight="1" thickBot="1" x14ac:dyDescent="0.3">
      <c r="C11" s="18"/>
      <c r="D11" s="19"/>
      <c r="E11" s="20"/>
      <c r="F11" s="20"/>
      <c r="G11" s="20"/>
      <c r="H11" s="21"/>
      <c r="I11" s="21"/>
      <c r="J11" s="22"/>
      <c r="K11" s="22"/>
      <c r="L11" s="21"/>
      <c r="M11" s="21"/>
      <c r="N11" s="23"/>
      <c r="P11" s="9"/>
    </row>
    <row r="12" spans="3:21" ht="22.15" customHeight="1" thickTop="1" thickBot="1" x14ac:dyDescent="0.3">
      <c r="C12" s="24"/>
      <c r="D12" s="25"/>
      <c r="E12" s="26"/>
      <c r="F12" s="26"/>
      <c r="G12" s="26"/>
      <c r="H12" s="27"/>
      <c r="I12" s="27"/>
      <c r="J12" s="24"/>
      <c r="K12" s="24"/>
      <c r="L12" s="27"/>
      <c r="M12" s="27"/>
      <c r="N12" s="27"/>
      <c r="P12" s="9"/>
    </row>
    <row r="13" spans="3:21" ht="30" customHeight="1" thickTop="1" thickBot="1" x14ac:dyDescent="0.3">
      <c r="C13" s="3"/>
      <c r="D13" s="28"/>
      <c r="E13" s="29"/>
      <c r="F13" s="29"/>
      <c r="G13" s="29"/>
      <c r="H13" s="30"/>
      <c r="I13" s="30"/>
      <c r="J13" s="100" t="s">
        <v>6</v>
      </c>
      <c r="K13" s="101"/>
      <c r="L13" s="30"/>
      <c r="M13" s="30"/>
      <c r="N13" s="31"/>
      <c r="P13" s="9"/>
    </row>
    <row r="14" spans="3:21" ht="34.5" customHeight="1" thickBot="1" x14ac:dyDescent="0.3">
      <c r="C14" s="7"/>
      <c r="D14" s="1" t="s">
        <v>7</v>
      </c>
      <c r="F14" s="1" t="s">
        <v>8</v>
      </c>
      <c r="G14" s="32" t="s">
        <v>9</v>
      </c>
      <c r="H14" s="32" t="s">
        <v>10</v>
      </c>
      <c r="I14" s="33" t="s">
        <v>11</v>
      </c>
      <c r="J14" s="34" t="s">
        <v>12</v>
      </c>
      <c r="K14" s="35" t="s">
        <v>13</v>
      </c>
      <c r="L14" s="36" t="s">
        <v>14</v>
      </c>
      <c r="M14" s="37" t="s">
        <v>15</v>
      </c>
      <c r="N14" s="8"/>
      <c r="P14" s="9"/>
      <c r="S14" s="38"/>
    </row>
    <row r="15" spans="3:21" ht="70.150000000000006" customHeight="1" x14ac:dyDescent="0.25">
      <c r="C15" s="7"/>
      <c r="E15" s="39" t="s">
        <v>16</v>
      </c>
      <c r="F15" s="40">
        <v>0</v>
      </c>
      <c r="G15" s="40">
        <v>0</v>
      </c>
      <c r="H15" s="41" t="s">
        <v>17</v>
      </c>
      <c r="I15" s="42"/>
      <c r="J15" s="43">
        <v>500</v>
      </c>
      <c r="K15" s="43">
        <v>0</v>
      </c>
      <c r="L15" s="44" t="s">
        <v>18</v>
      </c>
      <c r="M15" s="45" t="s">
        <v>19</v>
      </c>
      <c r="N15" s="8"/>
      <c r="P15" s="46"/>
    </row>
    <row r="16" spans="3:21" ht="21" customHeight="1" x14ac:dyDescent="0.25">
      <c r="C16" s="7"/>
      <c r="E16" s="47"/>
      <c r="F16" s="48"/>
      <c r="G16" s="48"/>
      <c r="H16" s="49"/>
      <c r="I16" s="50"/>
      <c r="J16" s="50"/>
      <c r="K16" s="50"/>
      <c r="L16" s="51"/>
      <c r="M16" s="52"/>
      <c r="N16" s="8"/>
      <c r="P16" s="46"/>
    </row>
    <row r="17" spans="3:16" ht="15.75" customHeight="1" thickBot="1" x14ac:dyDescent="0.3">
      <c r="C17" s="7"/>
      <c r="N17" s="8"/>
      <c r="P17" s="9"/>
    </row>
    <row r="18" spans="3:16" ht="43.5" customHeight="1" thickBot="1" x14ac:dyDescent="0.3">
      <c r="C18" s="7"/>
      <c r="D18" s="102" t="s">
        <v>20</v>
      </c>
      <c r="E18" s="103"/>
      <c r="F18" s="53" t="s">
        <v>8</v>
      </c>
      <c r="G18" s="54" t="s">
        <v>9</v>
      </c>
      <c r="H18" s="55" t="s">
        <v>21</v>
      </c>
      <c r="I18" s="56" t="s">
        <v>22</v>
      </c>
      <c r="J18" s="56" t="s">
        <v>23</v>
      </c>
      <c r="K18" s="55" t="s">
        <v>21</v>
      </c>
      <c r="L18" s="57"/>
      <c r="M18" s="37" t="s">
        <v>24</v>
      </c>
      <c r="N18" s="8"/>
      <c r="P18" s="9"/>
    </row>
    <row r="19" spans="3:16" ht="21.75" customHeight="1" thickBot="1" x14ac:dyDescent="0.3">
      <c r="C19" s="7"/>
      <c r="M19" s="58"/>
      <c r="N19" s="8"/>
      <c r="P19" s="9"/>
    </row>
    <row r="20" spans="3:16" ht="29.25" customHeight="1" thickTop="1" thickBot="1" x14ac:dyDescent="0.3">
      <c r="C20" s="7"/>
      <c r="D20" s="59" t="s">
        <v>25</v>
      </c>
      <c r="E20" s="60">
        <v>46027</v>
      </c>
      <c r="F20" s="61"/>
      <c r="G20" s="61"/>
      <c r="H20" s="41" t="e">
        <f>+F20/G20</f>
        <v>#DIV/0!</v>
      </c>
      <c r="I20" s="61"/>
      <c r="J20" s="61">
        <v>450</v>
      </c>
      <c r="K20" s="41">
        <f>+I20/J20</f>
        <v>0</v>
      </c>
      <c r="L20" s="62"/>
      <c r="M20" s="45">
        <v>1.24E-2</v>
      </c>
      <c r="N20" s="8"/>
      <c r="P20" s="9"/>
    </row>
    <row r="21" spans="3:16" ht="29.25" customHeight="1" thickTop="1" thickBot="1" x14ac:dyDescent="0.3">
      <c r="C21" s="7"/>
      <c r="D21" s="59" t="s">
        <v>26</v>
      </c>
      <c r="E21" s="60">
        <v>46028</v>
      </c>
      <c r="F21" s="61"/>
      <c r="G21" s="61"/>
      <c r="H21" s="41" t="e">
        <f>+F21/G21</f>
        <v>#DIV/0!</v>
      </c>
      <c r="I21" s="61"/>
      <c r="J21" s="61">
        <f>+J20+G21</f>
        <v>450</v>
      </c>
      <c r="K21" s="41">
        <f>+I21/J21</f>
        <v>0</v>
      </c>
      <c r="L21" s="62"/>
      <c r="M21" s="45">
        <v>1.46E-2</v>
      </c>
      <c r="N21" s="8"/>
      <c r="P21" s="9"/>
    </row>
    <row r="22" spans="3:16" ht="29.25" customHeight="1" thickTop="1" thickBot="1" x14ac:dyDescent="0.3">
      <c r="C22" s="7"/>
      <c r="D22" s="59" t="s">
        <v>27</v>
      </c>
      <c r="E22" s="60">
        <v>46029</v>
      </c>
      <c r="F22" s="61"/>
      <c r="G22" s="61"/>
      <c r="H22" s="63"/>
      <c r="I22" s="61"/>
      <c r="J22" s="61"/>
      <c r="K22" s="63"/>
      <c r="L22" s="62"/>
      <c r="M22" s="45"/>
      <c r="N22" s="8"/>
      <c r="P22" s="9"/>
    </row>
    <row r="23" spans="3:16" ht="29.25" customHeight="1" thickTop="1" thickBot="1" x14ac:dyDescent="0.3">
      <c r="C23" s="7"/>
      <c r="D23" s="59" t="s">
        <v>28</v>
      </c>
      <c r="E23" s="60">
        <v>46030</v>
      </c>
      <c r="F23" s="61"/>
      <c r="G23" s="61"/>
      <c r="H23" s="63"/>
      <c r="I23" s="61"/>
      <c r="J23" s="61"/>
      <c r="K23" s="63"/>
      <c r="L23" s="62"/>
      <c r="M23" s="45"/>
      <c r="N23" s="8"/>
      <c r="P23" s="9"/>
    </row>
    <row r="24" spans="3:16" ht="29.25" customHeight="1" thickTop="1" thickBot="1" x14ac:dyDescent="0.3">
      <c r="C24" s="7"/>
      <c r="D24" s="59" t="s">
        <v>29</v>
      </c>
      <c r="E24" s="60">
        <v>46031</v>
      </c>
      <c r="F24" s="61"/>
      <c r="G24" s="61"/>
      <c r="H24" s="63"/>
      <c r="I24" s="61"/>
      <c r="J24" s="61"/>
      <c r="K24" s="63"/>
      <c r="L24" s="62"/>
      <c r="M24" s="45"/>
      <c r="N24" s="8"/>
      <c r="P24" s="9"/>
    </row>
    <row r="25" spans="3:16" ht="21.75" customHeight="1" thickTop="1" x14ac:dyDescent="0.25">
      <c r="C25" s="7"/>
      <c r="D25" t="s">
        <v>30</v>
      </c>
      <c r="E25" s="47"/>
      <c r="F25" s="40">
        <v>0</v>
      </c>
      <c r="G25" s="40">
        <v>0</v>
      </c>
      <c r="H25" s="63"/>
      <c r="I25" s="64"/>
      <c r="J25" s="65"/>
      <c r="K25" s="66"/>
      <c r="N25" s="8"/>
      <c r="P25" s="9"/>
    </row>
    <row r="26" spans="3:16" ht="21.75" customHeight="1" thickBot="1" x14ac:dyDescent="0.3">
      <c r="C26" s="18"/>
      <c r="D26" s="22"/>
      <c r="E26" s="67"/>
      <c r="F26" s="68"/>
      <c r="G26" s="68"/>
      <c r="H26" s="69"/>
      <c r="I26" s="70"/>
      <c r="J26" s="71"/>
      <c r="K26" s="72"/>
      <c r="L26" s="22"/>
      <c r="M26" s="22"/>
      <c r="N26" s="73"/>
      <c r="P26" s="9"/>
    </row>
    <row r="27" spans="3:16" ht="22.15" customHeight="1" thickTop="1" x14ac:dyDescent="0.25">
      <c r="C27" s="24"/>
      <c r="D27" s="25"/>
      <c r="E27" s="26"/>
      <c r="F27" s="26"/>
      <c r="G27" s="26"/>
      <c r="H27" s="27"/>
      <c r="I27" s="27"/>
      <c r="J27" s="24"/>
      <c r="K27" s="24"/>
      <c r="L27" s="27"/>
      <c r="M27" s="27"/>
      <c r="N27" s="27"/>
      <c r="P27" s="9"/>
    </row>
    <row r="28" spans="3:16" ht="21.75" customHeight="1" thickBot="1" x14ac:dyDescent="0.3">
      <c r="E28" s="47"/>
      <c r="F28" s="48"/>
      <c r="G28" s="48"/>
      <c r="H28" s="74"/>
      <c r="I28" s="75"/>
      <c r="J28" s="76"/>
      <c r="K28" s="77"/>
      <c r="P28" s="9"/>
    </row>
    <row r="29" spans="3:16" ht="30.6" customHeight="1" thickTop="1" thickBot="1" x14ac:dyDescent="0.3">
      <c r="C29" s="3"/>
      <c r="D29" s="28"/>
      <c r="E29" s="29"/>
      <c r="F29" s="29"/>
      <c r="G29" s="29"/>
      <c r="H29" s="30"/>
      <c r="I29" s="30"/>
      <c r="J29" s="100" t="s">
        <v>31</v>
      </c>
      <c r="K29" s="101"/>
      <c r="L29" s="30"/>
      <c r="M29" s="30"/>
      <c r="N29" s="31"/>
      <c r="P29" s="9"/>
    </row>
    <row r="30" spans="3:16" ht="34.9" customHeight="1" thickBot="1" x14ac:dyDescent="0.3">
      <c r="C30" s="7"/>
      <c r="D30" s="1" t="s">
        <v>7</v>
      </c>
      <c r="F30" s="1" t="s">
        <v>8</v>
      </c>
      <c r="G30" s="32" t="s">
        <v>9</v>
      </c>
      <c r="H30" s="32" t="s">
        <v>10</v>
      </c>
      <c r="I30" s="33" t="s">
        <v>11</v>
      </c>
      <c r="J30" s="34" t="s">
        <v>12</v>
      </c>
      <c r="K30" s="35" t="s">
        <v>13</v>
      </c>
      <c r="L30" s="36" t="s">
        <v>14</v>
      </c>
      <c r="M30" s="37" t="s">
        <v>15</v>
      </c>
      <c r="N30" s="8"/>
      <c r="P30" s="9"/>
    </row>
    <row r="31" spans="3:16" ht="64.150000000000006" customHeight="1" x14ac:dyDescent="0.25">
      <c r="C31" s="7"/>
      <c r="E31" s="78" t="s">
        <v>32</v>
      </c>
      <c r="F31" s="79">
        <v>0</v>
      </c>
      <c r="G31" s="40">
        <v>0</v>
      </c>
      <c r="H31" s="80" t="s">
        <v>17</v>
      </c>
      <c r="I31" s="42"/>
      <c r="J31" s="43">
        <v>200</v>
      </c>
      <c r="K31" s="43">
        <v>0</v>
      </c>
      <c r="L31" s="44" t="s">
        <v>18</v>
      </c>
      <c r="M31" s="45" t="s">
        <v>19</v>
      </c>
      <c r="N31" s="8"/>
      <c r="P31" s="9"/>
    </row>
    <row r="32" spans="3:16" ht="21.75" customHeight="1" thickBot="1" x14ac:dyDescent="0.3">
      <c r="C32" s="7"/>
      <c r="E32" s="47"/>
      <c r="F32" s="48"/>
      <c r="G32" s="48" t="s">
        <v>33</v>
      </c>
      <c r="H32" s="49"/>
      <c r="I32" s="50" t="s">
        <v>34</v>
      </c>
      <c r="J32" s="50"/>
      <c r="K32" s="50"/>
      <c r="L32" s="51"/>
      <c r="M32" s="52"/>
      <c r="N32" s="8"/>
      <c r="P32" s="9"/>
    </row>
    <row r="33" spans="3:16" ht="30.75" customHeight="1" thickBot="1" x14ac:dyDescent="0.3">
      <c r="C33" s="7"/>
      <c r="M33" s="37" t="s">
        <v>24</v>
      </c>
      <c r="N33" s="8"/>
      <c r="P33" s="9"/>
    </row>
    <row r="34" spans="3:16" ht="44.45" customHeight="1" thickBot="1" x14ac:dyDescent="0.3">
      <c r="C34" s="7"/>
      <c r="D34" s="102" t="s">
        <v>20</v>
      </c>
      <c r="E34" s="103"/>
      <c r="F34" s="53" t="s">
        <v>8</v>
      </c>
      <c r="G34" s="54" t="s">
        <v>9</v>
      </c>
      <c r="H34" s="55" t="s">
        <v>21</v>
      </c>
      <c r="I34" s="56" t="s">
        <v>22</v>
      </c>
      <c r="J34" s="56" t="s">
        <v>23</v>
      </c>
      <c r="K34" s="55" t="s">
        <v>21</v>
      </c>
      <c r="L34" s="57"/>
      <c r="N34" s="8"/>
      <c r="P34" s="9"/>
    </row>
    <row r="35" spans="3:16" ht="21.75" customHeight="1" thickBot="1" x14ac:dyDescent="0.3">
      <c r="C35" s="7"/>
      <c r="M35" s="58"/>
      <c r="N35" s="8"/>
      <c r="P35" s="9"/>
    </row>
    <row r="36" spans="3:16" ht="31.15" customHeight="1" thickTop="1" thickBot="1" x14ac:dyDescent="0.3">
      <c r="C36" s="7"/>
      <c r="D36" s="59" t="s">
        <v>25</v>
      </c>
      <c r="E36" s="60">
        <v>46027</v>
      </c>
      <c r="F36" s="61"/>
      <c r="G36" s="61"/>
      <c r="H36" s="41" t="e">
        <f>+F36/G36</f>
        <v>#DIV/0!</v>
      </c>
      <c r="I36" s="61"/>
      <c r="J36" s="61"/>
      <c r="K36" s="41" t="e">
        <f>+I36/J36</f>
        <v>#DIV/0!</v>
      </c>
      <c r="L36" s="62"/>
      <c r="M36" s="45"/>
      <c r="N36" s="8"/>
      <c r="P36" s="9"/>
    </row>
    <row r="37" spans="3:16" ht="31.15" customHeight="1" thickTop="1" thickBot="1" x14ac:dyDescent="0.3">
      <c r="C37" s="7"/>
      <c r="D37" s="59" t="s">
        <v>26</v>
      </c>
      <c r="E37" s="60">
        <v>46028</v>
      </c>
      <c r="F37" s="61"/>
      <c r="G37" s="81"/>
      <c r="H37" s="41" t="e">
        <f>+F37/G37</f>
        <v>#DIV/0!</v>
      </c>
      <c r="I37" s="61"/>
      <c r="J37" s="61"/>
      <c r="K37" s="41" t="e">
        <f>+I37/J37</f>
        <v>#DIV/0!</v>
      </c>
      <c r="L37" s="82"/>
      <c r="M37" s="83"/>
      <c r="N37" s="8"/>
      <c r="P37" s="9"/>
    </row>
    <row r="38" spans="3:16" ht="31.15" customHeight="1" thickTop="1" thickBot="1" x14ac:dyDescent="0.3">
      <c r="C38" s="7"/>
      <c r="D38" s="59" t="s">
        <v>27</v>
      </c>
      <c r="E38" s="60">
        <v>46029</v>
      </c>
      <c r="F38" s="61"/>
      <c r="G38" s="81"/>
      <c r="H38" s="63"/>
      <c r="I38" s="61"/>
      <c r="J38" s="61"/>
      <c r="K38" s="63"/>
      <c r="L38" s="82"/>
      <c r="M38" s="83"/>
      <c r="N38" s="8"/>
      <c r="P38" s="9"/>
    </row>
    <row r="39" spans="3:16" ht="31.15" customHeight="1" thickTop="1" thickBot="1" x14ac:dyDescent="0.3">
      <c r="C39" s="7"/>
      <c r="D39" s="59" t="s">
        <v>28</v>
      </c>
      <c r="E39" s="60">
        <v>46030</v>
      </c>
      <c r="F39" s="61"/>
      <c r="G39" s="81"/>
      <c r="H39" s="63"/>
      <c r="I39" s="61"/>
      <c r="J39" s="61"/>
      <c r="K39" s="63"/>
      <c r="L39" s="82"/>
      <c r="M39" s="83"/>
      <c r="N39" s="8"/>
      <c r="P39" s="9"/>
    </row>
    <row r="40" spans="3:16" ht="31.15" customHeight="1" thickTop="1" thickBot="1" x14ac:dyDescent="0.3">
      <c r="C40" s="7"/>
      <c r="D40" s="59" t="s">
        <v>29</v>
      </c>
      <c r="E40" s="60">
        <v>46031</v>
      </c>
      <c r="F40" s="81"/>
      <c r="G40" s="81"/>
      <c r="H40" s="63"/>
      <c r="I40" s="61"/>
      <c r="J40" s="61"/>
      <c r="K40" s="63"/>
      <c r="L40" s="82"/>
      <c r="M40" s="83"/>
      <c r="N40" s="8"/>
      <c r="P40" s="9"/>
    </row>
    <row r="41" spans="3:16" ht="21.75" customHeight="1" thickTop="1" x14ac:dyDescent="0.25">
      <c r="C41" s="7"/>
      <c r="D41" t="s">
        <v>30</v>
      </c>
      <c r="E41" s="47"/>
      <c r="F41" s="40">
        <v>0</v>
      </c>
      <c r="G41" s="40">
        <v>0</v>
      </c>
      <c r="H41" s="63"/>
      <c r="I41" s="64"/>
      <c r="J41" s="65"/>
      <c r="K41" s="66"/>
      <c r="N41" s="8"/>
      <c r="P41" s="9"/>
    </row>
    <row r="42" spans="3:16" ht="21" customHeight="1" x14ac:dyDescent="0.25">
      <c r="C42" s="7"/>
      <c r="E42" s="47"/>
      <c r="F42" s="84"/>
      <c r="G42" s="84"/>
      <c r="H42" s="49"/>
      <c r="I42" s="85"/>
      <c r="J42" s="85"/>
      <c r="K42" s="52"/>
      <c r="N42" s="8"/>
      <c r="P42" s="9"/>
    </row>
    <row r="43" spans="3:16" ht="21" customHeight="1" x14ac:dyDescent="0.25">
      <c r="C43" s="7"/>
      <c r="E43" s="47"/>
      <c r="F43" s="84"/>
      <c r="G43" s="84"/>
      <c r="H43" s="49"/>
      <c r="I43" s="85"/>
      <c r="J43" s="85"/>
      <c r="K43" s="52"/>
      <c r="N43" s="8"/>
      <c r="P43" s="9"/>
    </row>
    <row r="44" spans="3:16" ht="21.75" customHeight="1" thickBot="1" x14ac:dyDescent="0.3">
      <c r="C44" s="18"/>
      <c r="D44" s="22"/>
      <c r="E44" s="67"/>
      <c r="F44" s="86"/>
      <c r="G44" s="86"/>
      <c r="H44" s="87"/>
      <c r="I44" s="88"/>
      <c r="J44" s="88"/>
      <c r="K44" s="89"/>
      <c r="L44" s="22"/>
      <c r="M44" s="22"/>
      <c r="N44" s="73"/>
      <c r="P44" s="9"/>
    </row>
    <row r="45" spans="3:16" ht="21.75" customHeight="1" thickTop="1" thickBot="1" x14ac:dyDescent="0.3">
      <c r="C45" s="3"/>
      <c r="D45" s="28"/>
      <c r="E45" s="29"/>
      <c r="F45" s="29"/>
      <c r="G45" s="29"/>
      <c r="H45" s="30"/>
      <c r="I45" s="30"/>
      <c r="J45" s="100" t="s">
        <v>31</v>
      </c>
      <c r="K45" s="101"/>
      <c r="L45" s="30"/>
      <c r="M45" s="30"/>
      <c r="N45" s="31"/>
      <c r="P45" s="9"/>
    </row>
    <row r="46" spans="3:16" ht="28.9" customHeight="1" thickBot="1" x14ac:dyDescent="0.3">
      <c r="C46" s="7"/>
      <c r="D46" s="1" t="s">
        <v>7</v>
      </c>
      <c r="F46" s="1" t="s">
        <v>8</v>
      </c>
      <c r="G46" s="32" t="s">
        <v>9</v>
      </c>
      <c r="H46" s="32" t="s">
        <v>10</v>
      </c>
      <c r="I46" s="33" t="s">
        <v>11</v>
      </c>
      <c r="J46" s="34" t="s">
        <v>12</v>
      </c>
      <c r="K46" s="35" t="s">
        <v>13</v>
      </c>
      <c r="L46" s="36" t="s">
        <v>14</v>
      </c>
      <c r="M46" s="37" t="s">
        <v>15</v>
      </c>
      <c r="N46" s="8"/>
      <c r="P46" s="9"/>
    </row>
    <row r="47" spans="3:16" ht="53.25" customHeight="1" x14ac:dyDescent="0.25">
      <c r="C47" s="7"/>
      <c r="E47" s="78" t="s">
        <v>32</v>
      </c>
      <c r="F47" s="79">
        <v>0</v>
      </c>
      <c r="G47" s="40">
        <v>0</v>
      </c>
      <c r="H47" s="80" t="s">
        <v>17</v>
      </c>
      <c r="I47" s="42"/>
      <c r="J47" s="43">
        <v>200</v>
      </c>
      <c r="K47" s="43">
        <v>0</v>
      </c>
      <c r="L47" s="44" t="s">
        <v>18</v>
      </c>
      <c r="M47" s="45" t="s">
        <v>19</v>
      </c>
      <c r="N47" s="8"/>
      <c r="P47" s="9"/>
    </row>
    <row r="48" spans="3:16" ht="28.9" customHeight="1" thickBot="1" x14ac:dyDescent="0.3">
      <c r="C48" s="7"/>
      <c r="E48" s="47"/>
      <c r="F48" s="48"/>
      <c r="G48" s="48" t="s">
        <v>33</v>
      </c>
      <c r="H48" s="49"/>
      <c r="I48" s="50" t="s">
        <v>34</v>
      </c>
      <c r="J48" s="50"/>
      <c r="K48" s="50"/>
      <c r="L48" s="51"/>
      <c r="M48" s="52"/>
      <c r="N48" s="8"/>
      <c r="P48" s="9"/>
    </row>
    <row r="49" spans="3:16" ht="28.9" customHeight="1" thickBot="1" x14ac:dyDescent="0.3">
      <c r="C49" s="7"/>
      <c r="M49" s="37" t="s">
        <v>24</v>
      </c>
      <c r="N49" s="8"/>
      <c r="P49" s="9"/>
    </row>
    <row r="50" spans="3:16" ht="39" customHeight="1" thickBot="1" x14ac:dyDescent="0.3">
      <c r="C50" s="7"/>
      <c r="D50" s="102" t="s">
        <v>20</v>
      </c>
      <c r="E50" s="103"/>
      <c r="F50" s="53" t="s">
        <v>8</v>
      </c>
      <c r="G50" s="54" t="s">
        <v>9</v>
      </c>
      <c r="H50" s="55" t="s">
        <v>21</v>
      </c>
      <c r="I50" s="56" t="s">
        <v>22</v>
      </c>
      <c r="J50" s="56" t="s">
        <v>23</v>
      </c>
      <c r="K50" s="55" t="s">
        <v>21</v>
      </c>
      <c r="L50" s="57"/>
      <c r="N50" s="8"/>
      <c r="P50" s="9"/>
    </row>
    <row r="51" spans="3:16" ht="21" customHeight="1" thickBot="1" x14ac:dyDescent="0.3">
      <c r="C51" s="7"/>
      <c r="M51" s="58"/>
      <c r="N51" s="8"/>
      <c r="P51" s="9"/>
    </row>
    <row r="52" spans="3:16" ht="30" customHeight="1" thickTop="1" thickBot="1" x14ac:dyDescent="0.3">
      <c r="C52" s="7"/>
      <c r="D52" s="59" t="s">
        <v>25</v>
      </c>
      <c r="E52" s="60">
        <v>46027</v>
      </c>
      <c r="F52" s="61"/>
      <c r="G52" s="61"/>
      <c r="H52" s="41" t="e">
        <f>+F52/G52</f>
        <v>#DIV/0!</v>
      </c>
      <c r="I52" s="61"/>
      <c r="J52" s="61"/>
      <c r="K52" s="41" t="e">
        <f>+I52/J52</f>
        <v>#DIV/0!</v>
      </c>
      <c r="L52" s="62"/>
      <c r="M52" s="45"/>
      <c r="N52" s="8"/>
      <c r="P52" s="9"/>
    </row>
    <row r="53" spans="3:16" ht="29.25" customHeight="1" thickTop="1" thickBot="1" x14ac:dyDescent="0.3">
      <c r="C53" s="7"/>
      <c r="D53" s="59" t="s">
        <v>26</v>
      </c>
      <c r="E53" s="60">
        <v>46028</v>
      </c>
      <c r="F53" s="61"/>
      <c r="G53" s="81"/>
      <c r="H53" s="41" t="e">
        <f>+F53/G53</f>
        <v>#DIV/0!</v>
      </c>
      <c r="I53" s="61"/>
      <c r="J53" s="61"/>
      <c r="K53" s="41" t="e">
        <f>+I53/J53</f>
        <v>#DIV/0!</v>
      </c>
      <c r="L53" s="82"/>
      <c r="M53" s="83"/>
      <c r="N53" s="8"/>
      <c r="P53" s="9"/>
    </row>
    <row r="54" spans="3:16" ht="27.75" customHeight="1" thickTop="1" thickBot="1" x14ac:dyDescent="0.3">
      <c r="C54" s="7"/>
      <c r="D54" s="59" t="s">
        <v>27</v>
      </c>
      <c r="E54" s="60">
        <v>46029</v>
      </c>
      <c r="F54" s="61"/>
      <c r="G54" s="81"/>
      <c r="H54" s="63"/>
      <c r="I54" s="61"/>
      <c r="J54" s="61"/>
      <c r="K54" s="63"/>
      <c r="L54" s="82"/>
      <c r="M54" s="83"/>
      <c r="N54" s="8"/>
      <c r="P54" s="9"/>
    </row>
    <row r="55" spans="3:16" ht="28.5" customHeight="1" thickTop="1" thickBot="1" x14ac:dyDescent="0.3">
      <c r="C55" s="7"/>
      <c r="D55" s="59" t="s">
        <v>28</v>
      </c>
      <c r="E55" s="60">
        <v>46030</v>
      </c>
      <c r="F55" s="61"/>
      <c r="G55" s="81"/>
      <c r="H55" s="63"/>
      <c r="I55" s="61"/>
      <c r="J55" s="61"/>
      <c r="K55" s="63"/>
      <c r="L55" s="82"/>
      <c r="M55" s="83"/>
      <c r="N55" s="8"/>
      <c r="P55" s="9"/>
    </row>
    <row r="56" spans="3:16" ht="30.75" customHeight="1" thickTop="1" thickBot="1" x14ac:dyDescent="0.3">
      <c r="C56" s="7"/>
      <c r="D56" s="59" t="s">
        <v>29</v>
      </c>
      <c r="E56" s="60">
        <v>46031</v>
      </c>
      <c r="F56" s="81"/>
      <c r="G56" s="81"/>
      <c r="H56" s="63"/>
      <c r="I56" s="61"/>
      <c r="J56" s="61"/>
      <c r="K56" s="63"/>
      <c r="L56" s="82"/>
      <c r="M56" s="83"/>
      <c r="N56" s="8"/>
      <c r="P56" s="9"/>
    </row>
    <row r="57" spans="3:16" ht="21.75" thickTop="1" x14ac:dyDescent="0.25">
      <c r="C57" s="7"/>
      <c r="D57" t="s">
        <v>30</v>
      </c>
      <c r="E57" s="47"/>
      <c r="F57" s="40">
        <v>0</v>
      </c>
      <c r="G57" s="40">
        <v>0</v>
      </c>
      <c r="H57" s="63"/>
      <c r="I57" s="64"/>
      <c r="J57" s="65"/>
      <c r="K57" s="66"/>
      <c r="N57" s="8"/>
      <c r="P57" s="9"/>
    </row>
    <row r="58" spans="3:16" ht="21" x14ac:dyDescent="0.25">
      <c r="C58" s="7"/>
      <c r="E58" s="47"/>
      <c r="F58" s="84"/>
      <c r="G58" s="84"/>
      <c r="H58" s="49"/>
      <c r="I58" s="85"/>
      <c r="J58" s="85"/>
      <c r="K58" s="52"/>
      <c r="N58" s="8"/>
    </row>
    <row r="59" spans="3:16" ht="21" x14ac:dyDescent="0.25">
      <c r="C59" s="7"/>
      <c r="E59" s="47"/>
      <c r="F59" s="90" t="s">
        <v>35</v>
      </c>
      <c r="G59" s="104" t="s">
        <v>36</v>
      </c>
      <c r="H59" s="104"/>
      <c r="I59" s="104"/>
      <c r="J59" s="85"/>
      <c r="K59" s="52"/>
      <c r="N59" s="8"/>
    </row>
    <row r="60" spans="3:16" ht="19.5" customHeight="1" x14ac:dyDescent="0.25">
      <c r="C60" s="7"/>
      <c r="E60" s="47"/>
      <c r="F60" s="97" t="s">
        <v>37</v>
      </c>
      <c r="G60" s="105"/>
      <c r="H60" s="106"/>
      <c r="I60" s="107"/>
      <c r="J60" s="85"/>
      <c r="K60" s="52"/>
      <c r="N60" s="8"/>
    </row>
    <row r="61" spans="3:16" ht="19.5" customHeight="1" x14ac:dyDescent="0.25">
      <c r="C61" s="7"/>
      <c r="E61" s="47"/>
      <c r="F61" s="98"/>
      <c r="G61" s="91"/>
      <c r="H61" s="92"/>
      <c r="I61" s="93"/>
      <c r="J61" s="85"/>
      <c r="K61" s="52"/>
      <c r="N61" s="8"/>
    </row>
    <row r="62" spans="3:16" ht="21" x14ac:dyDescent="0.25">
      <c r="C62" s="7"/>
      <c r="E62" s="47"/>
      <c r="F62" s="98"/>
      <c r="G62" s="91"/>
      <c r="H62" s="92"/>
      <c r="I62" s="93"/>
      <c r="J62" s="85"/>
      <c r="K62" s="52"/>
      <c r="N62" s="8"/>
    </row>
    <row r="63" spans="3:16" ht="21" x14ac:dyDescent="0.25">
      <c r="C63" s="7"/>
      <c r="E63" s="47"/>
      <c r="F63" s="98"/>
      <c r="G63" s="91"/>
      <c r="H63" s="92"/>
      <c r="I63" s="93"/>
      <c r="J63" s="85"/>
      <c r="K63" s="52"/>
      <c r="N63" s="8"/>
    </row>
    <row r="64" spans="3:16" ht="21" x14ac:dyDescent="0.25">
      <c r="C64" s="7"/>
      <c r="E64" s="47"/>
      <c r="F64" s="99"/>
      <c r="G64" s="94"/>
      <c r="H64" s="95"/>
      <c r="I64" s="96"/>
      <c r="J64" s="85"/>
      <c r="K64" s="52"/>
      <c r="N64" s="8"/>
    </row>
    <row r="65" spans="3:14" ht="21" x14ac:dyDescent="0.25">
      <c r="C65" s="7"/>
      <c r="E65" s="47"/>
      <c r="F65" s="84" t="s">
        <v>37</v>
      </c>
      <c r="G65" s="84"/>
      <c r="H65" s="49"/>
      <c r="I65" s="85"/>
      <c r="J65" s="85"/>
      <c r="K65" s="52"/>
      <c r="N65" s="8"/>
    </row>
    <row r="66" spans="3:14" ht="21" x14ac:dyDescent="0.25">
      <c r="C66" s="7"/>
      <c r="E66" s="47"/>
      <c r="F66" s="84"/>
      <c r="G66" s="84"/>
      <c r="H66" s="49"/>
      <c r="I66" s="85"/>
      <c r="J66" s="85"/>
      <c r="K66" s="52"/>
      <c r="N66" s="8"/>
    </row>
    <row r="67" spans="3:14" ht="21.75" thickBot="1" x14ac:dyDescent="0.3">
      <c r="C67" s="18"/>
      <c r="D67" s="22"/>
      <c r="E67" s="67"/>
      <c r="F67" s="86"/>
      <c r="G67" s="86"/>
      <c r="H67" s="87"/>
      <c r="I67" s="88"/>
      <c r="J67" s="88"/>
      <c r="K67" s="89"/>
      <c r="L67" s="22"/>
      <c r="M67" s="22"/>
      <c r="N67" s="73"/>
    </row>
    <row r="68" spans="3:14" ht="15.75" thickTop="1" x14ac:dyDescent="0.25"/>
    <row r="160" spans="6:6" x14ac:dyDescent="0.25">
      <c r="F160">
        <f>40*33*0.55</f>
        <v>726.00000000000011</v>
      </c>
    </row>
    <row r="161" spans="6:6" x14ac:dyDescent="0.25">
      <c r="F161">
        <f>40*30*0.4</f>
        <v>480</v>
      </c>
    </row>
    <row r="162" spans="6:6" x14ac:dyDescent="0.25">
      <c r="F162">
        <f>40*12*0.4</f>
        <v>192</v>
      </c>
    </row>
  </sheetData>
  <mergeCells count="17">
    <mergeCell ref="E10:G10"/>
    <mergeCell ref="J29:K29"/>
    <mergeCell ref="D4:M4"/>
    <mergeCell ref="D34:E34"/>
    <mergeCell ref="D8:M8"/>
    <mergeCell ref="D18:E18"/>
    <mergeCell ref="J13:K13"/>
    <mergeCell ref="D9:E9"/>
    <mergeCell ref="G63:I63"/>
    <mergeCell ref="G64:I64"/>
    <mergeCell ref="F60:F64"/>
    <mergeCell ref="J45:K45"/>
    <mergeCell ref="D50:E50"/>
    <mergeCell ref="G59:I59"/>
    <mergeCell ref="G60:I60"/>
    <mergeCell ref="G61:I61"/>
    <mergeCell ref="G62:I62"/>
  </mergeCells>
  <conditionalFormatting sqref="H15">
    <cfRule type="cellIs" dxfId="9" priority="5" operator="greaterThan">
      <formula>0.95</formula>
    </cfRule>
  </conditionalFormatting>
  <conditionalFormatting sqref="H20:H24">
    <cfRule type="cellIs" dxfId="8" priority="8" operator="greaterThan">
      <formula>0.95</formula>
    </cfRule>
  </conditionalFormatting>
  <conditionalFormatting sqref="H28">
    <cfRule type="cellIs" dxfId="7" priority="10" operator="greaterThan">
      <formula>0.95</formula>
    </cfRule>
  </conditionalFormatting>
  <conditionalFormatting sqref="H31:H32">
    <cfRule type="cellIs" dxfId="6" priority="9" operator="greaterThan">
      <formula>0.95</formula>
    </cfRule>
  </conditionalFormatting>
  <conditionalFormatting sqref="H36:H40">
    <cfRule type="cellIs" dxfId="5" priority="6" operator="greaterThan">
      <formula>0.95</formula>
    </cfRule>
  </conditionalFormatting>
  <conditionalFormatting sqref="H47:H48">
    <cfRule type="cellIs" dxfId="4" priority="3" operator="greaterThan">
      <formula>0.95</formula>
    </cfRule>
  </conditionalFormatting>
  <conditionalFormatting sqref="H52:H56">
    <cfRule type="cellIs" dxfId="3" priority="1" operator="greaterThan">
      <formula>0.95</formula>
    </cfRule>
  </conditionalFormatting>
  <conditionalFormatting sqref="K20:K24">
    <cfRule type="cellIs" dxfId="2" priority="4" operator="greaterThan">
      <formula>0.95</formula>
    </cfRule>
  </conditionalFormatting>
  <conditionalFormatting sqref="K36:K40">
    <cfRule type="cellIs" dxfId="1" priority="7" operator="greaterThan">
      <formula>0.95</formula>
    </cfRule>
  </conditionalFormatting>
  <conditionalFormatting sqref="K52:K56">
    <cfRule type="cellIs" dxfId="0" priority="2" operator="greaterThan">
      <formula>0.95</formula>
    </cfRule>
  </conditionalFormatting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WK 02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Aguirre, Luz (Amphenol-AS)</dc:creator>
  <cp:lastModifiedBy>Aguirre, Luz (Amphenol-AS)</cp:lastModifiedBy>
  <dcterms:created xsi:type="dcterms:W3CDTF">2026-01-26T20:45:30Z</dcterms:created>
  <dcterms:modified xsi:type="dcterms:W3CDTF">2026-04-08T17:53:13Z</dcterms:modified>
</cp:coreProperties>
</file>